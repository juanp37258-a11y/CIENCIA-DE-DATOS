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13\Documents\"/>
    </mc:Choice>
  </mc:AlternateContent>
  <xr:revisionPtr revIDLastSave="0" documentId="8_{CB8F8765-EBCE-4B6F-806C-0B7B6EB8C3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gresion Line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1" i="1" l="1"/>
  <c r="D30" i="1"/>
  <c r="D29" i="1"/>
  <c r="D28" i="1"/>
  <c r="D27" i="1"/>
  <c r="D23" i="1"/>
  <c r="F23" i="1" s="1"/>
  <c r="D22" i="1"/>
  <c r="F22" i="1" s="1"/>
  <c r="D21" i="1"/>
  <c r="F21" i="1" s="1"/>
  <c r="D20" i="1"/>
  <c r="F20" i="1" s="1"/>
  <c r="D19" i="1"/>
  <c r="F19" i="1" s="1"/>
  <c r="D18" i="1"/>
  <c r="F18" i="1" s="1"/>
  <c r="D17" i="1"/>
  <c r="F17" i="1" s="1"/>
  <c r="D16" i="1"/>
  <c r="F16" i="1" s="1"/>
  <c r="D15" i="1"/>
  <c r="F15" i="1" s="1"/>
  <c r="D14" i="1"/>
  <c r="F14" i="1" s="1"/>
  <c r="D13" i="1"/>
  <c r="F13" i="1" s="1"/>
  <c r="D12" i="1"/>
  <c r="F12" i="1" s="1"/>
  <c r="D11" i="1"/>
  <c r="F11" i="1" s="1"/>
  <c r="D10" i="1"/>
  <c r="F10" i="1" s="1"/>
  <c r="D9" i="1"/>
  <c r="F9" i="1" s="1"/>
  <c r="D8" i="1"/>
  <c r="F8" i="1" s="1"/>
  <c r="D7" i="1"/>
  <c r="F7" i="1" s="1"/>
  <c r="D6" i="1"/>
  <c r="F6" i="1" s="1"/>
  <c r="D5" i="1"/>
  <c r="F5" i="1" s="1"/>
  <c r="D4" i="1"/>
  <c r="D32" i="1" s="1"/>
  <c r="E6" i="1" l="1"/>
  <c r="E10" i="1"/>
  <c r="E14" i="1"/>
  <c r="E18" i="1"/>
  <c r="E22" i="1"/>
  <c r="E7" i="1"/>
  <c r="E11" i="1"/>
  <c r="E15" i="1"/>
  <c r="E19" i="1"/>
  <c r="E23" i="1"/>
  <c r="E4" i="1"/>
  <c r="E8" i="1"/>
  <c r="E12" i="1"/>
  <c r="E16" i="1"/>
  <c r="E20" i="1"/>
  <c r="F4" i="1"/>
  <c r="E5" i="1"/>
  <c r="E9" i="1"/>
  <c r="E13" i="1"/>
  <c r="E17" i="1"/>
  <c r="E21" i="1"/>
</calcChain>
</file>

<file path=xl/sharedStrings.xml><?xml version="1.0" encoding="utf-8"?>
<sst xmlns="http://schemas.openxmlformats.org/spreadsheetml/2006/main" count="16" uniqueCount="16">
  <si>
    <t>Regresión Lineal: Velocidad de Internet (Mbps) vs Tiempo de Descarga (s)</t>
  </si>
  <si>
    <t>N°</t>
  </si>
  <si>
    <t>Velocidad (Mbps)</t>
  </si>
  <si>
    <t>Tiempo Descarga (s)</t>
  </si>
  <si>
    <t>Ŷ Predicho (s)</t>
  </si>
  <si>
    <t>Residual (s)</t>
  </si>
  <si>
    <t>Residual²</t>
  </si>
  <si>
    <t>📊 Estadísticas del Modelo</t>
  </si>
  <si>
    <t>R² — Coef. de Determinación</t>
  </si>
  <si>
    <t>r  — Correlación de Pearson</t>
  </si>
  <si>
    <t>β₁ — Pendiente</t>
  </si>
  <si>
    <t>β₀ — Intercepto</t>
  </si>
  <si>
    <t>Error Estándar (SEyx)</t>
  </si>
  <si>
    <t>Suma Residuales²</t>
  </si>
  <si>
    <t>Ecuación del modelo:   Ŷ = β₀ + β₁ · X    →    Ŷ = INTERCEPT + SLOPE · Velocidad(Mbps)</t>
  </si>
  <si>
    <t>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</si>
</sst>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Calibri"/>
      <family val="2"/>
      <scheme val="minor"/>
    </font>
    <font>
      <b/>
      <sz val="14"/>
      <color rgb="FF1F4E79"/>
      <name val="Arial"/>
    </font>
    <font>
      <b/>
      <sz val="11"/>
      <color rgb="FFFFFFFF"/>
      <name val="Arial"/>
    </font>
    <font>
      <sz val="10"/>
      <name val="Arial"/>
    </font>
    <font>
      <b/>
      <sz val="12"/>
      <color rgb="FF1F4E79"/>
      <name val="Arial"/>
    </font>
    <font>
      <b/>
      <sz val="10"/>
      <name val="Arial"/>
    </font>
    <font>
      <b/>
      <sz val="10"/>
      <color rgb="FF1A5276"/>
      <name val="Arial"/>
    </font>
    <font>
      <b/>
      <sz val="11"/>
      <color rgb="FF922B21"/>
      <name val="Arial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BF5FB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D5F5E3"/>
      </patternFill>
    </fill>
    <fill>
      <patternFill patternType="solid">
        <fgColor rgb="FFFDECEA"/>
      </patternFill>
    </fill>
    <fill>
      <patternFill patternType="solid">
        <fgColor theme="3"/>
        <bgColor indexed="64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2" fontId="3" fillId="4" borderId="1" xfId="0" applyNumberFormat="1" applyFont="1" applyFill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5" fillId="5" borderId="1" xfId="0" applyFont="1" applyFill="1" applyBorder="1" applyAlignment="1">
      <alignment horizontal="left" indent="1"/>
    </xf>
    <xf numFmtId="0" fontId="0" fillId="0" borderId="2" xfId="0" applyBorder="1"/>
    <xf numFmtId="0" fontId="0" fillId="0" borderId="3" xfId="0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7" fillId="6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indent="1"/>
    </xf>
    <xf numFmtId="0" fontId="0" fillId="7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vertical="top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Velocidad de Internet vs Tiempo de Descarga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5.1412243870322991E-2"/>
          <c:y val="3.1890664405582289E-2"/>
          <c:w val="0.92620030625534999"/>
          <c:h val="0.89814215057391822"/>
        </c:manualLayout>
      </c:layout>
      <c:scatterChart>
        <c:scatterStyle val="lineMarker"/>
        <c:varyColors val="1"/>
        <c:ser>
          <c:idx val="0"/>
          <c:order val="0"/>
          <c:tx>
            <c:v>Datos observados</c:v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4791765827796038"/>
                  <c:y val="-2.066247055297394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600" baseline="0"/>
                      <a:t>y = -0,3416x + 70,816</a:t>
                    </a:r>
                    <a:br>
                      <a:rPr lang="en-US" sz="1600" baseline="0"/>
                    </a:br>
                    <a:r>
                      <a:rPr lang="en-US" sz="1600" baseline="0"/>
                      <a:t>R² = 0,9212</a:t>
                    </a:r>
                    <a:endParaRPr lang="en-US" sz="16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9525" cap="rnd">
                <a:solidFill>
                  <a:schemeClr val="accent2"/>
                </a:solidFill>
              </a:ln>
              <a:effectLst/>
            </c:spPr>
            <c:trendlineType val="linear"/>
            <c:intercept val="0"/>
            <c:dispRSqr val="0"/>
            <c:dispEq val="0"/>
          </c:trendline>
          <c:xVal>
            <c:numRef>
              <c:f>'Regresion Lineal'!$B$4:$B$23</c:f>
              <c:numCache>
                <c:formatCode>General</c:formatCode>
                <c:ptCount val="2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</c:numCache>
            </c:numRef>
          </c:xVal>
          <c:yVal>
            <c:numRef>
              <c:f>'Regresion Lineal'!$C$4:$C$23</c:f>
              <c:numCache>
                <c:formatCode>General</c:formatCode>
                <c:ptCount val="20"/>
                <c:pt idx="0">
                  <c:v>80</c:v>
                </c:pt>
                <c:pt idx="1">
                  <c:v>72</c:v>
                </c:pt>
                <c:pt idx="2">
                  <c:v>65</c:v>
                </c:pt>
                <c:pt idx="3">
                  <c:v>58</c:v>
                </c:pt>
                <c:pt idx="4">
                  <c:v>52</c:v>
                </c:pt>
                <c:pt idx="5">
                  <c:v>47</c:v>
                </c:pt>
                <c:pt idx="6">
                  <c:v>42</c:v>
                </c:pt>
                <c:pt idx="7">
                  <c:v>38</c:v>
                </c:pt>
                <c:pt idx="8">
                  <c:v>34</c:v>
                </c:pt>
                <c:pt idx="9">
                  <c:v>30</c:v>
                </c:pt>
                <c:pt idx="10">
                  <c:v>27</c:v>
                </c:pt>
                <c:pt idx="11">
                  <c:v>24</c:v>
                </c:pt>
                <c:pt idx="12">
                  <c:v>22</c:v>
                </c:pt>
                <c:pt idx="13">
                  <c:v>20</c:v>
                </c:pt>
                <c:pt idx="14">
                  <c:v>18</c:v>
                </c:pt>
                <c:pt idx="15">
                  <c:v>16</c:v>
                </c:pt>
                <c:pt idx="16">
                  <c:v>15</c:v>
                </c:pt>
                <c:pt idx="17">
                  <c:v>14</c:v>
                </c:pt>
                <c:pt idx="18">
                  <c:v>13</c:v>
                </c:pt>
                <c:pt idx="19">
                  <c:v>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D09-4093-B9CD-6E9658BE9D10}"/>
            </c:ext>
          </c:extLst>
        </c:ser>
        <c:ser>
          <c:idx val="1"/>
          <c:order val="1"/>
          <c:tx>
            <c:v>Ŷ Predicho</c:v>
          </c:tx>
          <c:spPr>
            <a:ln w="95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xVal>
            <c:numRef>
              <c:f>'Regresion Lineal'!$B$4:$B$23</c:f>
              <c:numCache>
                <c:formatCode>General</c:formatCode>
                <c:ptCount val="2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</c:numCache>
            </c:numRef>
          </c:xVal>
          <c:yVal>
            <c:numRef>
              <c:f>'Regresion Lineal'!$D$4:$D$23</c:f>
              <c:numCache>
                <c:formatCode>0.00</c:formatCode>
                <c:ptCount val="20"/>
                <c:pt idx="0">
                  <c:v>67.400000000000006</c:v>
                </c:pt>
                <c:pt idx="1">
                  <c:v>63.984210526315799</c:v>
                </c:pt>
                <c:pt idx="2">
                  <c:v>60.568421052631592</c:v>
                </c:pt>
                <c:pt idx="3">
                  <c:v>57.152631578947378</c:v>
                </c:pt>
                <c:pt idx="4">
                  <c:v>53.736842105263165</c:v>
                </c:pt>
                <c:pt idx="5">
                  <c:v>50.321052631578958</c:v>
                </c:pt>
                <c:pt idx="6">
                  <c:v>46.905263157894751</c:v>
                </c:pt>
                <c:pt idx="7">
                  <c:v>43.489473684210537</c:v>
                </c:pt>
                <c:pt idx="8">
                  <c:v>40.073684210526324</c:v>
                </c:pt>
                <c:pt idx="9">
                  <c:v>36.657894736842117</c:v>
                </c:pt>
                <c:pt idx="10">
                  <c:v>33.242105263157903</c:v>
                </c:pt>
                <c:pt idx="11">
                  <c:v>29.826315789473696</c:v>
                </c:pt>
                <c:pt idx="12">
                  <c:v>26.410526315789483</c:v>
                </c:pt>
                <c:pt idx="13">
                  <c:v>22.994736842105276</c:v>
                </c:pt>
                <c:pt idx="14">
                  <c:v>19.578947368421062</c:v>
                </c:pt>
                <c:pt idx="15">
                  <c:v>16.163157894736855</c:v>
                </c:pt>
                <c:pt idx="16">
                  <c:v>12.747368421052641</c:v>
                </c:pt>
                <c:pt idx="17">
                  <c:v>9.3315789473684347</c:v>
                </c:pt>
                <c:pt idx="18">
                  <c:v>5.915789473684228</c:v>
                </c:pt>
                <c:pt idx="19">
                  <c:v>2.5000000000000142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D09-4093-B9CD-6E9658BE9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Velocidad (Mbps)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Tiempo de Descarga (s)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11907</xdr:colOff>
      <xdr:row>0</xdr:row>
      <xdr:rowOff>254793</xdr:rowOff>
    </xdr:from>
    <xdr:ext cx="10120313" cy="89249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"/>
  <sheetViews>
    <sheetView tabSelected="1" zoomScale="64" zoomScaleNormal="64" workbookViewId="0">
      <selection activeCell="AC33" sqref="AC33"/>
    </sheetView>
  </sheetViews>
  <sheetFormatPr baseColWidth="10" defaultColWidth="9.140625" defaultRowHeight="15" x14ac:dyDescent="0.25"/>
  <cols>
    <col min="1" max="1" width="5" customWidth="1"/>
    <col min="2" max="2" width="20" customWidth="1"/>
    <col min="3" max="3" width="22" customWidth="1"/>
    <col min="4" max="4" width="20" customWidth="1"/>
    <col min="5" max="5" width="16" customWidth="1"/>
    <col min="6" max="6" width="14" customWidth="1"/>
    <col min="7" max="7" width="13.42578125" customWidth="1"/>
  </cols>
  <sheetData>
    <row r="1" spans="1:11" ht="30" customHeight="1" x14ac:dyDescent="0.25">
      <c r="A1" s="10" t="s">
        <v>0</v>
      </c>
      <c r="B1" s="11"/>
      <c r="C1" s="11"/>
      <c r="D1" s="11"/>
      <c r="E1" s="11"/>
      <c r="F1" s="11"/>
    </row>
    <row r="3" spans="1:11" ht="27.95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4" t="s">
        <v>15</v>
      </c>
    </row>
    <row r="4" spans="1:11" ht="18" customHeight="1" x14ac:dyDescent="0.25">
      <c r="A4" s="2">
        <v>1</v>
      </c>
      <c r="B4" s="2">
        <v>10</v>
      </c>
      <c r="C4" s="2">
        <v>80</v>
      </c>
      <c r="D4" s="3">
        <f t="shared" ref="D4:D23" si="0">FORECAST(B4,$C$4:$C$23,$B$4:$B$23)</f>
        <v>67.400000000000006</v>
      </c>
      <c r="E4" s="3">
        <f t="shared" ref="E4:E23" si="1">C4-D4</f>
        <v>12.599999999999994</v>
      </c>
      <c r="F4" s="3">
        <f t="shared" ref="F4:F23" si="2">(C4-D4)^2</f>
        <v>158.75999999999985</v>
      </c>
    </row>
    <row r="5" spans="1:11" ht="18" customHeight="1" x14ac:dyDescent="0.25">
      <c r="A5" s="4">
        <v>2</v>
      </c>
      <c r="B5" s="4">
        <v>20</v>
      </c>
      <c r="C5" s="4">
        <v>72</v>
      </c>
      <c r="D5" s="5">
        <f t="shared" si="0"/>
        <v>63.984210526315799</v>
      </c>
      <c r="E5" s="5">
        <f t="shared" si="1"/>
        <v>8.015789473684201</v>
      </c>
      <c r="F5" s="5">
        <f t="shared" si="2"/>
        <v>64.252880886426439</v>
      </c>
      <c r="H5" s="15"/>
    </row>
    <row r="6" spans="1:11" ht="18" customHeight="1" x14ac:dyDescent="0.25">
      <c r="A6" s="2">
        <v>3</v>
      </c>
      <c r="B6" s="2">
        <v>30</v>
      </c>
      <c r="C6" s="2">
        <v>65</v>
      </c>
      <c r="D6" s="3">
        <f t="shared" si="0"/>
        <v>60.568421052631592</v>
      </c>
      <c r="E6" s="3">
        <f t="shared" si="1"/>
        <v>4.4315789473684077</v>
      </c>
      <c r="F6" s="3">
        <f t="shared" si="2"/>
        <v>19.638891966758884</v>
      </c>
      <c r="H6" s="16"/>
    </row>
    <row r="7" spans="1:11" ht="18" customHeight="1" x14ac:dyDescent="0.25">
      <c r="A7" s="4">
        <v>4</v>
      </c>
      <c r="B7" s="4">
        <v>40</v>
      </c>
      <c r="C7" s="4">
        <v>58</v>
      </c>
      <c r="D7" s="5">
        <f t="shared" si="0"/>
        <v>57.152631578947378</v>
      </c>
      <c r="E7" s="5">
        <f t="shared" si="1"/>
        <v>0.84736842105262156</v>
      </c>
      <c r="F7" s="5">
        <f t="shared" si="2"/>
        <v>0.71803324099721288</v>
      </c>
    </row>
    <row r="8" spans="1:11" ht="18" customHeight="1" x14ac:dyDescent="0.25">
      <c r="A8" s="2">
        <v>5</v>
      </c>
      <c r="B8" s="2">
        <v>50</v>
      </c>
      <c r="C8" s="2">
        <v>52</v>
      </c>
      <c r="D8" s="3">
        <f t="shared" si="0"/>
        <v>53.736842105263165</v>
      </c>
      <c r="E8" s="3">
        <f t="shared" si="1"/>
        <v>-1.7368421052631646</v>
      </c>
      <c r="F8" s="3">
        <f t="shared" si="2"/>
        <v>3.0166204986149818</v>
      </c>
    </row>
    <row r="9" spans="1:11" ht="18" customHeight="1" x14ac:dyDescent="0.25">
      <c r="A9" s="4">
        <v>6</v>
      </c>
      <c r="B9" s="4">
        <v>60</v>
      </c>
      <c r="C9" s="4">
        <v>47</v>
      </c>
      <c r="D9" s="5">
        <f t="shared" si="0"/>
        <v>50.321052631578958</v>
      </c>
      <c r="E9" s="5">
        <f t="shared" si="1"/>
        <v>-3.3210526315789579</v>
      </c>
      <c r="F9" s="5">
        <f t="shared" si="2"/>
        <v>11.029390581717522</v>
      </c>
    </row>
    <row r="10" spans="1:11" ht="18" customHeight="1" x14ac:dyDescent="0.25">
      <c r="A10" s="2">
        <v>7</v>
      </c>
      <c r="B10" s="2">
        <v>70</v>
      </c>
      <c r="C10" s="2">
        <v>42</v>
      </c>
      <c r="D10" s="3">
        <f t="shared" si="0"/>
        <v>46.905263157894751</v>
      </c>
      <c r="E10" s="3">
        <f t="shared" si="1"/>
        <v>-4.9052631578947512</v>
      </c>
      <c r="F10" s="3">
        <f t="shared" si="2"/>
        <v>24.061606648199586</v>
      </c>
      <c r="K10" s="17"/>
    </row>
    <row r="11" spans="1:11" ht="18" customHeight="1" x14ac:dyDescent="0.25">
      <c r="A11" s="4">
        <v>8</v>
      </c>
      <c r="B11" s="4">
        <v>80</v>
      </c>
      <c r="C11" s="4">
        <v>38</v>
      </c>
      <c r="D11" s="5">
        <f t="shared" si="0"/>
        <v>43.489473684210537</v>
      </c>
      <c r="E11" s="5">
        <f t="shared" si="1"/>
        <v>-5.4894736842105374</v>
      </c>
      <c r="F11" s="5">
        <f t="shared" si="2"/>
        <v>30.134321329640009</v>
      </c>
    </row>
    <row r="12" spans="1:11" ht="18" customHeight="1" x14ac:dyDescent="0.25">
      <c r="A12" s="2">
        <v>9</v>
      </c>
      <c r="B12" s="2">
        <v>90</v>
      </c>
      <c r="C12" s="2">
        <v>34</v>
      </c>
      <c r="D12" s="3">
        <f t="shared" si="0"/>
        <v>40.073684210526324</v>
      </c>
      <c r="E12" s="3">
        <f t="shared" si="1"/>
        <v>-6.0736842105263236</v>
      </c>
      <c r="F12" s="3">
        <f t="shared" si="2"/>
        <v>36.889639889196772</v>
      </c>
    </row>
    <row r="13" spans="1:11" ht="18" customHeight="1" x14ac:dyDescent="0.25">
      <c r="A13" s="4">
        <v>10</v>
      </c>
      <c r="B13" s="4">
        <v>100</v>
      </c>
      <c r="C13" s="4">
        <v>30</v>
      </c>
      <c r="D13" s="5">
        <f t="shared" si="0"/>
        <v>36.657894736842117</v>
      </c>
      <c r="E13" s="5">
        <f t="shared" si="1"/>
        <v>-6.6578947368421169</v>
      </c>
      <c r="F13" s="5">
        <f t="shared" si="2"/>
        <v>44.327562326869959</v>
      </c>
    </row>
    <row r="14" spans="1:11" ht="18" customHeight="1" x14ac:dyDescent="0.25">
      <c r="A14" s="2">
        <v>11</v>
      </c>
      <c r="B14" s="2">
        <v>110</v>
      </c>
      <c r="C14" s="2">
        <v>27</v>
      </c>
      <c r="D14" s="3">
        <f t="shared" si="0"/>
        <v>33.242105263157903</v>
      </c>
      <c r="E14" s="3">
        <f t="shared" si="1"/>
        <v>-6.242105263157903</v>
      </c>
      <c r="F14" s="3">
        <f t="shared" si="2"/>
        <v>38.963878116343594</v>
      </c>
    </row>
    <row r="15" spans="1:11" ht="18" customHeight="1" x14ac:dyDescent="0.25">
      <c r="A15" s="4">
        <v>12</v>
      </c>
      <c r="B15" s="4">
        <v>120</v>
      </c>
      <c r="C15" s="4">
        <v>24</v>
      </c>
      <c r="D15" s="5">
        <f t="shared" si="0"/>
        <v>29.826315789473696</v>
      </c>
      <c r="E15" s="5">
        <f t="shared" si="1"/>
        <v>-5.8263157894736963</v>
      </c>
      <c r="F15" s="5">
        <f t="shared" si="2"/>
        <v>33.945955678670501</v>
      </c>
    </row>
    <row r="16" spans="1:11" ht="18" customHeight="1" x14ac:dyDescent="0.25">
      <c r="A16" s="2">
        <v>13</v>
      </c>
      <c r="B16" s="2">
        <v>130</v>
      </c>
      <c r="C16" s="2">
        <v>22</v>
      </c>
      <c r="D16" s="3">
        <f t="shared" si="0"/>
        <v>26.410526315789483</v>
      </c>
      <c r="E16" s="3">
        <f t="shared" si="1"/>
        <v>-4.4105263157894825</v>
      </c>
      <c r="F16" s="3">
        <f t="shared" si="2"/>
        <v>19.452742382271545</v>
      </c>
    </row>
    <row r="17" spans="1:6" ht="18" customHeight="1" x14ac:dyDescent="0.25">
      <c r="A17" s="4">
        <v>14</v>
      </c>
      <c r="B17" s="4">
        <v>140</v>
      </c>
      <c r="C17" s="4">
        <v>20</v>
      </c>
      <c r="D17" s="5">
        <f t="shared" si="0"/>
        <v>22.994736842105276</v>
      </c>
      <c r="E17" s="5">
        <f t="shared" si="1"/>
        <v>-2.9947368421052758</v>
      </c>
      <c r="F17" s="5">
        <f t="shared" si="2"/>
        <v>8.9684487534626793</v>
      </c>
    </row>
    <row r="18" spans="1:6" ht="18" customHeight="1" x14ac:dyDescent="0.25">
      <c r="A18" s="2">
        <v>15</v>
      </c>
      <c r="B18" s="2">
        <v>150</v>
      </c>
      <c r="C18" s="2">
        <v>18</v>
      </c>
      <c r="D18" s="3">
        <f t="shared" si="0"/>
        <v>19.578947368421062</v>
      </c>
      <c r="E18" s="3">
        <f t="shared" si="1"/>
        <v>-1.578947368421062</v>
      </c>
      <c r="F18" s="3">
        <f t="shared" si="2"/>
        <v>2.4930747922437968</v>
      </c>
    </row>
    <row r="19" spans="1:6" ht="18" customHeight="1" x14ac:dyDescent="0.25">
      <c r="A19" s="4">
        <v>16</v>
      </c>
      <c r="B19" s="4">
        <v>160</v>
      </c>
      <c r="C19" s="4">
        <v>16</v>
      </c>
      <c r="D19" s="5">
        <f t="shared" si="0"/>
        <v>16.163157894736855</v>
      </c>
      <c r="E19" s="5">
        <f t="shared" si="1"/>
        <v>-0.16315789473685527</v>
      </c>
      <c r="F19" s="5">
        <f t="shared" si="2"/>
        <v>2.6620498614962743E-2</v>
      </c>
    </row>
    <row r="20" spans="1:6" ht="18" customHeight="1" x14ac:dyDescent="0.25">
      <c r="A20" s="2">
        <v>17</v>
      </c>
      <c r="B20" s="2">
        <v>170</v>
      </c>
      <c r="C20" s="2">
        <v>15</v>
      </c>
      <c r="D20" s="3">
        <f t="shared" si="0"/>
        <v>12.747368421052641</v>
      </c>
      <c r="E20" s="3">
        <f t="shared" si="1"/>
        <v>2.2526315789473585</v>
      </c>
      <c r="F20" s="3">
        <f t="shared" si="2"/>
        <v>5.07434903047087</v>
      </c>
    </row>
    <row r="21" spans="1:6" ht="18" customHeight="1" x14ac:dyDescent="0.25">
      <c r="A21" s="4">
        <v>18</v>
      </c>
      <c r="B21" s="4">
        <v>180</v>
      </c>
      <c r="C21" s="4">
        <v>14</v>
      </c>
      <c r="D21" s="5">
        <f t="shared" si="0"/>
        <v>9.3315789473684347</v>
      </c>
      <c r="E21" s="5">
        <f t="shared" si="1"/>
        <v>4.6684210526315653</v>
      </c>
      <c r="F21" s="5">
        <f t="shared" si="2"/>
        <v>21.79415512465361</v>
      </c>
    </row>
    <row r="22" spans="1:6" ht="18" customHeight="1" x14ac:dyDescent="0.25">
      <c r="A22" s="2">
        <v>19</v>
      </c>
      <c r="B22" s="2">
        <v>190</v>
      </c>
      <c r="C22" s="2">
        <v>13</v>
      </c>
      <c r="D22" s="3">
        <f t="shared" si="0"/>
        <v>5.915789473684228</v>
      </c>
      <c r="E22" s="3">
        <f t="shared" si="1"/>
        <v>7.084210526315772</v>
      </c>
      <c r="F22" s="3">
        <f t="shared" si="2"/>
        <v>50.186038781163184</v>
      </c>
    </row>
    <row r="23" spans="1:6" ht="18" customHeight="1" x14ac:dyDescent="0.25">
      <c r="A23" s="4">
        <v>20</v>
      </c>
      <c r="B23" s="4">
        <v>200</v>
      </c>
      <c r="C23" s="4">
        <v>12</v>
      </c>
      <c r="D23" s="5">
        <f t="shared" si="0"/>
        <v>2.5000000000000142</v>
      </c>
      <c r="E23" s="5">
        <f t="shared" si="1"/>
        <v>9.4999999999999858</v>
      </c>
      <c r="F23" s="5">
        <f t="shared" si="2"/>
        <v>90.24999999999973</v>
      </c>
    </row>
    <row r="25" spans="1:6" ht="9.9499999999999993" customHeight="1" x14ac:dyDescent="0.25"/>
    <row r="26" spans="1:6" ht="24" customHeight="1" x14ac:dyDescent="0.25">
      <c r="A26" s="13" t="s">
        <v>7</v>
      </c>
      <c r="B26" s="11"/>
      <c r="C26" s="11"/>
    </row>
    <row r="27" spans="1:6" ht="18" customHeight="1" x14ac:dyDescent="0.25">
      <c r="A27" s="7" t="s">
        <v>8</v>
      </c>
      <c r="B27" s="8"/>
      <c r="C27" s="9"/>
      <c r="D27" s="6">
        <f>RSQ($C$4:$C$23,$B$4:$B$23)</f>
        <v>0.92116963646628347</v>
      </c>
    </row>
    <row r="28" spans="1:6" ht="18" customHeight="1" x14ac:dyDescent="0.25">
      <c r="A28" s="7" t="s">
        <v>9</v>
      </c>
      <c r="B28" s="8"/>
      <c r="C28" s="9"/>
      <c r="D28" s="6">
        <f>CORREL($C$4:$C$23,$B$4:$B$23)</f>
        <v>-0.95977582615227597</v>
      </c>
    </row>
    <row r="29" spans="1:6" ht="18" customHeight="1" x14ac:dyDescent="0.25">
      <c r="A29" s="7" t="s">
        <v>10</v>
      </c>
      <c r="B29" s="8"/>
      <c r="C29" s="9"/>
      <c r="D29" s="6">
        <f>SLOPE($C$4:$C$23,$B$4:$B$23)</f>
        <v>-0.34157894736842104</v>
      </c>
    </row>
    <row r="30" spans="1:6" ht="18" customHeight="1" x14ac:dyDescent="0.25">
      <c r="A30" s="7" t="s">
        <v>11</v>
      </c>
      <c r="B30" s="8"/>
      <c r="C30" s="9"/>
      <c r="D30" s="6">
        <f>INTERCEPT($C$4:$C$23,$B$4:$B$23)</f>
        <v>70.81578947368422</v>
      </c>
    </row>
    <row r="31" spans="1:6" ht="18" customHeight="1" x14ac:dyDescent="0.25">
      <c r="A31" s="7" t="s">
        <v>12</v>
      </c>
      <c r="B31" s="8"/>
      <c r="C31" s="9"/>
      <c r="D31" s="6">
        <f>STEYX($C$4:$C$23,$B$4:$B$23)</f>
        <v>6.0735501723379626</v>
      </c>
    </row>
    <row r="32" spans="1:6" ht="18" customHeight="1" x14ac:dyDescent="0.25">
      <c r="A32" s="7" t="s">
        <v>13</v>
      </c>
      <c r="B32" s="8"/>
      <c r="C32" s="9"/>
      <c r="D32" s="6">
        <f>SUMPRODUCT((C4:C23-D4:D23)^2)</f>
        <v>663.98421052631568</v>
      </c>
    </row>
    <row r="34" spans="1:6" ht="9.9499999999999993" customHeight="1" x14ac:dyDescent="0.25"/>
    <row r="35" spans="1:6" x14ac:dyDescent="0.25">
      <c r="A35" s="12" t="s">
        <v>14</v>
      </c>
      <c r="B35" s="11"/>
      <c r="C35" s="11"/>
      <c r="D35" s="11"/>
      <c r="E35" s="11"/>
      <c r="F35" s="11"/>
    </row>
  </sheetData>
  <mergeCells count="9">
    <mergeCell ref="A35:F35"/>
    <mergeCell ref="A29:C29"/>
    <mergeCell ref="A26:C26"/>
    <mergeCell ref="A28:C28"/>
    <mergeCell ref="A32:C32"/>
    <mergeCell ref="A1:F1"/>
    <mergeCell ref="A31:C31"/>
    <mergeCell ref="A27:C27"/>
    <mergeCell ref="A30:C30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Regresion Lineal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B13-AINF</cp:lastModifiedBy>
  <dcterms:created xsi:type="dcterms:W3CDTF">2026-04-22T16:20:33Z</dcterms:created>
  <dcterms:modified xsi:type="dcterms:W3CDTF">2026-04-22T16:51:40Z</dcterms:modified>
</cp:coreProperties>
</file>